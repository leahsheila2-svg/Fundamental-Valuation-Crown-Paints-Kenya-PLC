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7F5E26D-CC79-4495-B61E-DCF7AF971B78}" xr6:coauthVersionLast="47" xr6:coauthVersionMax="47" xr10:uidLastSave="{00000000-0000-0000-0000-000000000000}"/>
  <bookViews>
    <workbookView xWindow="-108" yWindow="-108" windowWidth="23256" windowHeight="12456" firstSheet="1" activeTab="2" xr2:uid="{FF60DCD1-3E2C-4729-8D14-BB9CD704A0C3}"/>
  </bookViews>
  <sheets>
    <sheet name="Instructions" sheetId="3" r:id="rId1"/>
    <sheet name="Assumptions" sheetId="4" r:id="rId2"/>
    <sheet name="Financial Data" sheetId="5" r:id="rId3"/>
    <sheet name="DCF Valuation" sheetId="6" r:id="rId4"/>
    <sheet name="Multiples Valuation" sheetId="7" r:id="rId5"/>
    <sheet name="Summary &amp; Recommendation" sheetId="8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5" l="1"/>
  <c r="B31" i="4"/>
  <c r="B9" i="7"/>
  <c r="B11" i="7"/>
  <c r="D11" i="8"/>
  <c r="D16" i="8"/>
  <c r="B30" i="8" s="1"/>
  <c r="B18" i="7"/>
  <c r="B20" i="7"/>
  <c r="B34" i="6"/>
  <c r="B19" i="5"/>
  <c r="G16" i="8"/>
  <c r="G14" i="8"/>
  <c r="G13" i="8"/>
  <c r="G12" i="8"/>
  <c r="G11" i="8"/>
  <c r="B16" i="8"/>
  <c r="B32" i="8" s="1"/>
  <c r="B30" i="5"/>
  <c r="B33" i="6"/>
  <c r="B26" i="8"/>
  <c r="B20" i="8"/>
  <c r="B19" i="8"/>
  <c r="B5" i="8"/>
  <c r="B4" i="8"/>
  <c r="B3" i="8"/>
  <c r="B26" i="7"/>
  <c r="B24" i="7"/>
  <c r="B23" i="7"/>
  <c r="B19" i="7"/>
  <c r="B15" i="7"/>
  <c r="B10" i="7"/>
  <c r="B8" i="7"/>
  <c r="B7" i="7"/>
  <c r="B12" i="8" s="1"/>
  <c r="B30" i="6"/>
  <c r="F16" i="6"/>
  <c r="E16" i="6"/>
  <c r="D16" i="6"/>
  <c r="C16" i="6"/>
  <c r="B16" i="6"/>
  <c r="B5" i="6"/>
  <c r="B12" i="6" s="1"/>
  <c r="B25" i="5"/>
  <c r="B28" i="6"/>
  <c r="B11" i="5"/>
  <c r="B9" i="5"/>
  <c r="B14" i="7" s="1"/>
  <c r="B16" i="7" s="1"/>
  <c r="B6" i="8" l="1"/>
  <c r="B28" i="5"/>
  <c r="B29" i="5" s="1"/>
  <c r="B21" i="8"/>
  <c r="B25" i="7"/>
  <c r="B27" i="7" s="1"/>
  <c r="B14" i="8" s="1"/>
  <c r="B6" i="6"/>
  <c r="B32" i="5"/>
  <c r="C14" i="8"/>
  <c r="B13" i="6"/>
  <c r="B17" i="7"/>
  <c r="B13" i="8" s="1"/>
  <c r="C5" i="6"/>
  <c r="B7" i="6"/>
  <c r="B11" i="6" s="1"/>
  <c r="B23" i="8" l="1"/>
  <c r="C13" i="8"/>
  <c r="D13" i="8" s="1"/>
  <c r="C12" i="8"/>
  <c r="D12" i="8" s="1"/>
  <c r="C11" i="8"/>
  <c r="D14" i="8"/>
  <c r="C12" i="6"/>
  <c r="C7" i="6"/>
  <c r="C11" i="6" s="1"/>
  <c r="C6" i="6"/>
  <c r="D5" i="6"/>
  <c r="C13" i="6"/>
  <c r="B8" i="6"/>
  <c r="B31" i="5"/>
  <c r="B24" i="8" s="1"/>
  <c r="B22" i="8"/>
  <c r="C8" i="6" l="1"/>
  <c r="D7" i="6"/>
  <c r="D11" i="6" s="1"/>
  <c r="E5" i="6"/>
  <c r="D12" i="6"/>
  <c r="D13" i="6"/>
  <c r="D6" i="6"/>
  <c r="D8" i="6" s="1"/>
  <c r="C9" i="6"/>
  <c r="C10" i="6" s="1"/>
  <c r="C14" i="6" s="1"/>
  <c r="C17" i="6" s="1"/>
  <c r="B9" i="6"/>
  <c r="B10" i="6" s="1"/>
  <c r="B14" i="6" s="1"/>
  <c r="B17" i="6" s="1"/>
  <c r="D9" i="6" l="1"/>
  <c r="D10" i="6" s="1"/>
  <c r="D14" i="6" s="1"/>
  <c r="D17" i="6" s="1"/>
  <c r="F5" i="6"/>
  <c r="E13" i="6"/>
  <c r="E7" i="6"/>
  <c r="E11" i="6" s="1"/>
  <c r="E6" i="6"/>
  <c r="E12" i="6"/>
  <c r="E8" i="6" l="1"/>
  <c r="F13" i="6"/>
  <c r="F7" i="6"/>
  <c r="F11" i="6" s="1"/>
  <c r="F6" i="6"/>
  <c r="F8" i="6" s="1"/>
  <c r="F12" i="6"/>
  <c r="F10" i="6" l="1"/>
  <c r="F14" i="6" s="1"/>
  <c r="F9" i="6"/>
  <c r="E9" i="6"/>
  <c r="E10" i="6" s="1"/>
  <c r="E14" i="6" s="1"/>
  <c r="E17" i="6" s="1"/>
  <c r="B25" i="6" l="1"/>
  <c r="B20" i="6"/>
  <c r="B21" i="6" s="1"/>
  <c r="B22" i="6" s="1"/>
  <c r="B26" i="6" s="1"/>
  <c r="F17" i="6"/>
  <c r="B27" i="6" l="1"/>
  <c r="B29" i="6" s="1"/>
  <c r="B31" i="6" s="1"/>
  <c r="B11" i="8" l="1"/>
  <c r="B33" i="8" l="1"/>
</calcChain>
</file>

<file path=xl/sharedStrings.xml><?xml version="1.0" encoding="utf-8"?>
<sst xmlns="http://schemas.openxmlformats.org/spreadsheetml/2006/main" count="222" uniqueCount="197">
  <si>
    <t>CROWN PAINTS KENYA PLC - VALUATION MODEL</t>
  </si>
  <si>
    <t>Company Overview:</t>
  </si>
  <si>
    <t>Crown Paints Kenya PLC is the leading paint and coating manufacturer in East Africa</t>
  </si>
  <si>
    <t>Ticker:</t>
  </si>
  <si>
    <t>NSE: CRWN</t>
  </si>
  <si>
    <t>Sector:</t>
  </si>
  <si>
    <t>Building &amp; Construction Materials</t>
  </si>
  <si>
    <t>Purpose:</t>
  </si>
  <si>
    <t>This model performs fundamental valuation analysis using DCF and multiples methods</t>
  </si>
  <si>
    <t>How to Use:</t>
  </si>
  <si>
    <t>1. Company Information</t>
  </si>
  <si>
    <t>Review company data and current metrics in Assumptions sheet</t>
  </si>
  <si>
    <t>2. Financial Data</t>
  </si>
  <si>
    <t>Historical FY2024 financial statements are pre-populated</t>
  </si>
  <si>
    <t>3. Assumptions</t>
  </si>
  <si>
    <t>Adjust growth rates, discount rates, and terminal assumptions (yellow cells)</t>
  </si>
  <si>
    <t>4. DCF Valuation</t>
  </si>
  <si>
    <t>Model calculates intrinsic value using discounted cash flow</t>
  </si>
  <si>
    <t>5. Multiples Valuation</t>
  </si>
  <si>
    <t>Peer comparison using P/E, EV/EBITDA, and P/S multiples</t>
  </si>
  <si>
    <t>6. Recommendation</t>
  </si>
  <si>
    <t>Review investment recommendation based on all valuation methods</t>
  </si>
  <si>
    <t>Color Coding:</t>
  </si>
  <si>
    <t>Blue Text</t>
  </si>
  <si>
    <t>User inputs - modify these values for scenario analysis</t>
  </si>
  <si>
    <t>Black Text</t>
  </si>
  <si>
    <t>Formulas and calculations</t>
  </si>
  <si>
    <t>Green Text</t>
  </si>
  <si>
    <t>Links to other sheets within the workbook</t>
  </si>
  <si>
    <t>Yellow Highlight</t>
  </si>
  <si>
    <t>Key assumptions requiring attention</t>
  </si>
  <si>
    <t>Data Sources:</t>
  </si>
  <si>
    <t>FY2024 Annual Report, NSE market data (as of Dec 2025)</t>
  </si>
  <si>
    <t>CROWN PAINTS KENYA PLC - VALUATION ASSUMPTIONS</t>
  </si>
  <si>
    <t>COMPANY INFORMATION</t>
  </si>
  <si>
    <t>Company Name</t>
  </si>
  <si>
    <t>Crown Paints Kenya PLC</t>
  </si>
  <si>
    <t>Ticker Symbol</t>
  </si>
  <si>
    <t>Sector</t>
  </si>
  <si>
    <t>Building Materials - Paints &amp; Coatings</t>
  </si>
  <si>
    <t>Current Stock Price (KES)</t>
  </si>
  <si>
    <t>Shares Outstanding (millions)</t>
  </si>
  <si>
    <t>Source: Company filings</t>
  </si>
  <si>
    <t>DCF MODEL ASSUMPTIONS</t>
  </si>
  <si>
    <t>Projection Period (years)</t>
  </si>
  <si>
    <t>Revenue Growth Rate - Year 1 (%)</t>
  </si>
  <si>
    <t>Conservative vs FY24 19% volume growth</t>
  </si>
  <si>
    <t>Revenue Growth Rate - Year 2 (%)</t>
  </si>
  <si>
    <t>Revenue Growth Rate - Year 3 (%)</t>
  </si>
  <si>
    <t>Revenue Growth Rate - Year 4 (%)</t>
  </si>
  <si>
    <t>Revenue Growth Rate - Year 5 (%)</t>
  </si>
  <si>
    <t>EBITDA Margin %</t>
  </si>
  <si>
    <t>Estimated based on operating margin ~6.8%</t>
  </si>
  <si>
    <t>Tax Rate %</t>
  </si>
  <si>
    <t>Kenya corporate tax rate</t>
  </si>
  <si>
    <t>Capex as % of Revenue</t>
  </si>
  <si>
    <t>Based on historical capex KES 292M</t>
  </si>
  <si>
    <t>D&amp;A as % of Revenue</t>
  </si>
  <si>
    <t>Change in NWC as % of Revenue</t>
  </si>
  <si>
    <t>WACC / Discount Rate %</t>
  </si>
  <si>
    <t>Emerging market premium included</t>
  </si>
  <si>
    <t>Terminal Growth Rate %</t>
  </si>
  <si>
    <t>Long-term Kenya GDP growth estimate</t>
  </si>
  <si>
    <t>WACC COMPONENTS</t>
  </si>
  <si>
    <t>Risk-Free Rate (Kenya T-Bill)</t>
  </si>
  <si>
    <t>Market Risk Premium</t>
  </si>
  <si>
    <t>Beta</t>
  </si>
  <si>
    <t>Low beta - defensive stock</t>
  </si>
  <si>
    <t>Cost of Equity (Calculated)</t>
  </si>
  <si>
    <t>Cost of Debt (Pre-tax)</t>
  </si>
  <si>
    <t>Debt/Equity Ratio</t>
  </si>
  <si>
    <t>Low leverage company</t>
  </si>
  <si>
    <t>PEER MULTIPLES BENCHMARKS</t>
  </si>
  <si>
    <t>Target P/E Multiple</t>
  </si>
  <si>
    <t>Current: 8.1x, industry avg ~9-10x</t>
  </si>
  <si>
    <t>Target EV/EBITDA Multiple</t>
  </si>
  <si>
    <t>Current: 4.69x, conservative target</t>
  </si>
  <si>
    <t>Target P/S Multiple</t>
  </si>
  <si>
    <t>CROWN PAINTS KENYA - FY2024 FINANCIAL DATA</t>
  </si>
  <si>
    <t>Base Year: FY2024 (Year ended December 31, 2024)</t>
  </si>
  <si>
    <t>INCOME STATEMENT (KES Millions)</t>
  </si>
  <si>
    <t>Revenue</t>
  </si>
  <si>
    <t>Source: FY2024 Annual Report</t>
  </si>
  <si>
    <t>Gross Profit</t>
  </si>
  <si>
    <t>Gross margin: 44.4%</t>
  </si>
  <si>
    <t>Operating Profit (EBIT)</t>
  </si>
  <si>
    <t>Operating margin: 5.8%</t>
  </si>
  <si>
    <t>EBITDA (Estimated)</t>
  </si>
  <si>
    <t>Profit Before Tax</t>
  </si>
  <si>
    <t>Depreciation &amp; Amortization (Est.)</t>
  </si>
  <si>
    <t>Tax Expense</t>
  </si>
  <si>
    <t>Effective tax rate ~31%</t>
  </si>
  <si>
    <t>Net Income</t>
  </si>
  <si>
    <t>Net margin: 4.0%</t>
  </si>
  <si>
    <t>EPS (KES)</t>
  </si>
  <si>
    <t>BALANCE SHEET (KES Millions)</t>
  </si>
  <si>
    <t>Cash &amp; Equivalents</t>
  </si>
  <si>
    <t>Total Debt</t>
  </si>
  <si>
    <t>Net Debt (Cash)</t>
  </si>
  <si>
    <t>Net cash position</t>
  </si>
  <si>
    <t>Total Equity</t>
  </si>
  <si>
    <t>CASH FLOW (KES Millions)</t>
  </si>
  <si>
    <t>Operating Cash Flow</t>
  </si>
  <si>
    <t>Capital Expenditures</t>
  </si>
  <si>
    <t>Free Cash Flow</t>
  </si>
  <si>
    <t>CURRENT VALUATION METRICS</t>
  </si>
  <si>
    <t>Market Cap (KES millions)</t>
  </si>
  <si>
    <t>Enterprise Value (KES millions)</t>
  </si>
  <si>
    <t>Current P/E Ratio</t>
  </si>
  <si>
    <t>Current EV/EBITDA</t>
  </si>
  <si>
    <t>Current P/S Ratio</t>
  </si>
  <si>
    <t>Dividend per Share (KES)</t>
  </si>
  <si>
    <t>Dividend Yield</t>
  </si>
  <si>
    <t>CROWN PAINTS KENYA - DCF VALUATION</t>
  </si>
  <si>
    <t>All amounts in KES Millions except per share values</t>
  </si>
  <si>
    <t>Projection Period</t>
  </si>
  <si>
    <t>Year 1</t>
  </si>
  <si>
    <t>Year 2</t>
  </si>
  <si>
    <t>Year 3</t>
  </si>
  <si>
    <t>Year 4</t>
  </si>
  <si>
    <t>Year 5</t>
  </si>
  <si>
    <t>EBITDA</t>
  </si>
  <si>
    <t>Less: D&amp;A</t>
  </si>
  <si>
    <t>EBIT</t>
  </si>
  <si>
    <t>Less: Tax</t>
  </si>
  <si>
    <t>NOPAT</t>
  </si>
  <si>
    <t>Add: D&amp;A</t>
  </si>
  <si>
    <t>Less: Capex</t>
  </si>
  <si>
    <t>Less: Δ NWC</t>
  </si>
  <si>
    <t>Unlevered FCF</t>
  </si>
  <si>
    <t>Discount Factor</t>
  </si>
  <si>
    <t>PV of FCF</t>
  </si>
  <si>
    <t>TERMINAL VALUE CALCULATION</t>
  </si>
  <si>
    <t>Terminal Year FCF</t>
  </si>
  <si>
    <t>Terminal Value</t>
  </si>
  <si>
    <t>PV of Terminal Value</t>
  </si>
  <si>
    <t>VALUATION SUMMARY</t>
  </si>
  <si>
    <t>Sum of PV of FCF</t>
  </si>
  <si>
    <t>Enterprise Value</t>
  </si>
  <si>
    <t>Less: Net Debt (Add: Net Cash)</t>
  </si>
  <si>
    <t>Equity Value</t>
  </si>
  <si>
    <t>DCF Fair Value per Share (KES)</t>
  </si>
  <si>
    <t>Upside/(Downside) %</t>
  </si>
  <si>
    <t>CROWN PAINTS KENYA - MULTIPLES VALUATION</t>
  </si>
  <si>
    <t>VALUATION BY COMPARABLE MULTIPLES</t>
  </si>
  <si>
    <t>P/E RATIO METHOD</t>
  </si>
  <si>
    <t>Implied Market Cap</t>
  </si>
  <si>
    <t>P/E Fair Value per Share (KES)</t>
  </si>
  <si>
    <t>EV/EBITDA METHOD</t>
  </si>
  <si>
    <t>Implied Enterprise Value</t>
  </si>
  <si>
    <t>Implied Equity Value</t>
  </si>
  <si>
    <t>EV/EBITDA Fair Value per Share (KES)</t>
  </si>
  <si>
    <t>P/S (PRICE-TO-SALES) METHOD</t>
  </si>
  <si>
    <t>P/S Fair Value per Share (KES)</t>
  </si>
  <si>
    <t>CROWN PAINTS KENYA PLC - INVESTMENT RECOMMENDATION</t>
  </si>
  <si>
    <t>Company:</t>
  </si>
  <si>
    <t>Current Price (KES):</t>
  </si>
  <si>
    <t>Date:</t>
  </si>
  <si>
    <t>Valuation Method</t>
  </si>
  <si>
    <t>Fair Value (KES)</t>
  </si>
  <si>
    <t>Current Price</t>
  </si>
  <si>
    <t>Upside/(Downside)</t>
  </si>
  <si>
    <t>DCF Valuation</t>
  </si>
  <si>
    <t>P/E Multiple</t>
  </si>
  <si>
    <t>EV/EBITDA Multiple</t>
  </si>
  <si>
    <t>P/S Multiple</t>
  </si>
  <si>
    <t>Average Fair Value</t>
  </si>
  <si>
    <t>KEY FINANCIAL METRICS (FY2024)</t>
  </si>
  <si>
    <t>Revenue (KES millions)</t>
  </si>
  <si>
    <t>Net Income (KES millions)</t>
  </si>
  <si>
    <t>ROE</t>
  </si>
  <si>
    <t>INVESTMENT RECOMMENDATION</t>
  </si>
  <si>
    <t>Recommendation:</t>
  </si>
  <si>
    <t>Target Price (Avg):</t>
  </si>
  <si>
    <t>Potential Return:</t>
  </si>
  <si>
    <t>INVESTMENT THESIS</t>
  </si>
  <si>
    <t>Strengths:</t>
  </si>
  <si>
    <t>• Market leader in East African paints &amp; coatings</t>
  </si>
  <si>
    <t>• Strong recovery with 8% revenue growth in FY2024</t>
  </si>
  <si>
    <t>• Healthy cash generation (FCF: KES 1.5B)</t>
  </si>
  <si>
    <t>• Net cash position (KES 195M)</t>
  </si>
  <si>
    <t>• High ROE of 26.7%, attractive dividend yield</t>
  </si>
  <si>
    <t>• Low beta (0.21) - defensive characteristics</t>
  </si>
  <si>
    <t>Risks:</t>
  </si>
  <si>
    <t>• Currency volatility in regional markets</t>
  </si>
  <si>
    <t>• Competition from international players</t>
  </si>
  <si>
    <t>• Sensitivity to construction sector cyclicality</t>
  </si>
  <si>
    <t>• Input cost inflation (raw materials)</t>
  </si>
  <si>
    <t>Rating Guide:</t>
  </si>
  <si>
    <t>STRONG BUY: &gt;20% upside</t>
  </si>
  <si>
    <t>BUY: 10-20% upside</t>
  </si>
  <si>
    <t>HOLD: 0-10% upside</t>
  </si>
  <si>
    <t>UNDERPERFORM: 0 to -10%</t>
  </si>
  <si>
    <t>SELL: &lt;-10%</t>
  </si>
  <si>
    <t>.</t>
  </si>
  <si>
    <t>Current Share Price</t>
  </si>
  <si>
    <t>Source: NSE as of Feb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</si>
</sst>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0.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6"/>
      <name val="Cambria"/>
      <family val="1"/>
    </font>
    <font>
      <sz val="11"/>
      <color theme="1"/>
      <name val="Cambria"/>
      <family val="1"/>
    </font>
    <font>
      <b/>
      <sz val="11"/>
      <name val="Cambria"/>
      <family val="1"/>
    </font>
    <font>
      <sz val="11"/>
      <color rgb="FF0000FF"/>
      <name val="Cambria"/>
      <family val="1"/>
    </font>
    <font>
      <sz val="11"/>
      <color rgb="FF008000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i/>
      <sz val="9"/>
      <name val="Cambria"/>
      <family val="1"/>
    </font>
    <font>
      <sz val="11"/>
      <color rgb="FF000000"/>
      <name val="Cambria"/>
      <family val="1"/>
    </font>
    <font>
      <i/>
      <sz val="11"/>
      <name val="Cambria"/>
      <family val="1"/>
    </font>
    <font>
      <sz val="1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9C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8" fillId="2" borderId="0" xfId="1" applyFont="1" applyFill="1"/>
    <xf numFmtId="4" fontId="5" fillId="0" borderId="0" xfId="1" applyNumberFormat="1" applyFont="1"/>
    <xf numFmtId="0" fontId="9" fillId="0" borderId="0" xfId="1" applyFont="1"/>
    <xf numFmtId="0" fontId="5" fillId="3" borderId="0" xfId="1" applyFont="1" applyFill="1"/>
    <xf numFmtId="164" fontId="5" fillId="3" borderId="0" xfId="1" applyNumberFormat="1" applyFont="1" applyFill="1"/>
    <xf numFmtId="164" fontId="5" fillId="0" borderId="0" xfId="1" applyNumberFormat="1" applyFont="1"/>
    <xf numFmtId="2" fontId="5" fillId="0" borderId="0" xfId="1" applyNumberFormat="1" applyFont="1"/>
    <xf numFmtId="164" fontId="10" fillId="0" borderId="0" xfId="1" applyNumberFormat="1" applyFont="1"/>
    <xf numFmtId="165" fontId="5" fillId="3" borderId="0" xfId="1" applyNumberFormat="1" applyFont="1" applyFill="1"/>
    <xf numFmtId="165" fontId="5" fillId="0" borderId="0" xfId="1" applyNumberFormat="1" applyFont="1"/>
    <xf numFmtId="0" fontId="11" fillId="0" borderId="0" xfId="1" applyFont="1"/>
    <xf numFmtId="3" fontId="5" fillId="0" borderId="0" xfId="1" applyNumberFormat="1" applyFont="1"/>
    <xf numFmtId="3" fontId="10" fillId="0" borderId="0" xfId="1" applyNumberFormat="1" applyFont="1"/>
    <xf numFmtId="3" fontId="6" fillId="0" borderId="0" xfId="1" applyNumberFormat="1" applyFont="1"/>
    <xf numFmtId="165" fontId="10" fillId="0" borderId="0" xfId="1" applyNumberFormat="1" applyFont="1"/>
    <xf numFmtId="0" fontId="8" fillId="2" borderId="0" xfId="1" applyFont="1" applyFill="1" applyAlignment="1">
      <alignment horizontal="center"/>
    </xf>
    <xf numFmtId="3" fontId="10" fillId="2" borderId="0" xfId="1" applyNumberFormat="1" applyFont="1" applyFill="1"/>
    <xf numFmtId="166" fontId="6" fillId="0" borderId="0" xfId="1" applyNumberFormat="1" applyFont="1"/>
    <xf numFmtId="3" fontId="10" fillId="3" borderId="0" xfId="1" applyNumberFormat="1" applyFont="1" applyFill="1"/>
    <xf numFmtId="4" fontId="6" fillId="0" borderId="0" xfId="1" applyNumberFormat="1" applyFont="1"/>
    <xf numFmtId="0" fontId="8" fillId="0" borderId="0" xfId="1" applyFont="1"/>
    <xf numFmtId="4" fontId="8" fillId="4" borderId="0" xfId="1" applyNumberFormat="1" applyFont="1" applyFill="1"/>
    <xf numFmtId="164" fontId="10" fillId="3" borderId="0" xfId="1" applyNumberFormat="1" applyFont="1" applyFill="1"/>
    <xf numFmtId="0" fontId="4" fillId="2" borderId="0" xfId="1" applyFont="1" applyFill="1"/>
    <xf numFmtId="165" fontId="6" fillId="0" borderId="0" xfId="1" applyNumberFormat="1" applyFont="1"/>
    <xf numFmtId="4" fontId="10" fillId="4" borderId="0" xfId="1" applyNumberFormat="1" applyFont="1" applyFill="1"/>
    <xf numFmtId="4" fontId="10" fillId="0" borderId="0" xfId="1" applyNumberFormat="1" applyFont="1"/>
    <xf numFmtId="4" fontId="4" fillId="3" borderId="0" xfId="1" applyNumberFormat="1" applyFont="1" applyFill="1"/>
    <xf numFmtId="164" fontId="4" fillId="3" borderId="0" xfId="1" applyNumberFormat="1" applyFont="1" applyFill="1"/>
    <xf numFmtId="164" fontId="6" fillId="0" borderId="0" xfId="1" applyNumberFormat="1" applyFont="1"/>
    <xf numFmtId="0" fontId="8" fillId="4" borderId="0" xfId="1" applyFont="1" applyFill="1"/>
    <xf numFmtId="4" fontId="4" fillId="0" borderId="0" xfId="1" applyNumberFormat="1" applyFont="1"/>
    <xf numFmtId="164" fontId="4" fillId="0" borderId="0" xfId="1" applyNumberFormat="1" applyFont="1"/>
    <xf numFmtId="0" fontId="12" fillId="0" borderId="0" xfId="1" applyFont="1"/>
    <xf numFmtId="17" fontId="11" fillId="0" borderId="0" xfId="1" applyNumberFormat="1" applyFont="1"/>
  </cellXfs>
  <cellStyles count="2">
    <cellStyle name="Normal" xfId="0" builtinId="0"/>
    <cellStyle name="Normal 2" xfId="1" xr:uid="{8399F220-40B2-4E97-8705-7EAB2312A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5ECA-1230-4EDE-83CB-66F4D3541FD3}">
  <dimension ref="A1:B24"/>
  <sheetViews>
    <sheetView showGridLines="0" topLeftCell="A9" zoomScaleNormal="100" workbookViewId="0">
      <selection activeCell="J15" sqref="J15"/>
    </sheetView>
  </sheetViews>
  <sheetFormatPr defaultColWidth="8.6640625" defaultRowHeight="13.8" x14ac:dyDescent="0.25"/>
  <cols>
    <col min="1" max="1" width="25" style="2" customWidth="1"/>
    <col min="2" max="2" width="80" style="2" customWidth="1"/>
    <col min="3" max="16384" width="8.6640625" style="2"/>
  </cols>
  <sheetData>
    <row r="1" spans="1:2" ht="20.399999999999999" x14ac:dyDescent="0.35">
      <c r="A1" s="1" t="s">
        <v>0</v>
      </c>
    </row>
    <row r="4" spans="1:2" x14ac:dyDescent="0.25">
      <c r="A4" s="3" t="s">
        <v>1</v>
      </c>
      <c r="B4" s="2" t="s">
        <v>2</v>
      </c>
    </row>
    <row r="5" spans="1:2" x14ac:dyDescent="0.25">
      <c r="A5" s="3" t="s">
        <v>3</v>
      </c>
      <c r="B5" s="2" t="s">
        <v>4</v>
      </c>
    </row>
    <row r="6" spans="1:2" x14ac:dyDescent="0.25">
      <c r="A6" s="3" t="s">
        <v>5</v>
      </c>
      <c r="B6" s="2" t="s">
        <v>6</v>
      </c>
    </row>
    <row r="8" spans="1:2" x14ac:dyDescent="0.25">
      <c r="A8" s="3" t="s">
        <v>7</v>
      </c>
      <c r="B8" s="2" t="s">
        <v>8</v>
      </c>
    </row>
    <row r="10" spans="1:2" x14ac:dyDescent="0.25">
      <c r="A10" s="3" t="s">
        <v>9</v>
      </c>
    </row>
    <row r="11" spans="1:2" x14ac:dyDescent="0.25">
      <c r="A11" s="2" t="s">
        <v>10</v>
      </c>
      <c r="B11" s="2" t="s">
        <v>11</v>
      </c>
    </row>
    <row r="12" spans="1:2" x14ac:dyDescent="0.25">
      <c r="A12" s="2" t="s">
        <v>12</v>
      </c>
      <c r="B12" s="2" t="s">
        <v>13</v>
      </c>
    </row>
    <row r="13" spans="1:2" x14ac:dyDescent="0.25">
      <c r="A13" s="2" t="s">
        <v>14</v>
      </c>
      <c r="B13" s="2" t="s">
        <v>15</v>
      </c>
    </row>
    <row r="14" spans="1:2" x14ac:dyDescent="0.25">
      <c r="A14" s="2" t="s">
        <v>16</v>
      </c>
      <c r="B14" s="2" t="s">
        <v>17</v>
      </c>
    </row>
    <row r="15" spans="1:2" x14ac:dyDescent="0.25">
      <c r="A15" s="2" t="s">
        <v>18</v>
      </c>
      <c r="B15" s="2" t="s">
        <v>19</v>
      </c>
    </row>
    <row r="16" spans="1:2" x14ac:dyDescent="0.25">
      <c r="A16" s="2" t="s">
        <v>20</v>
      </c>
      <c r="B16" s="2" t="s">
        <v>21</v>
      </c>
    </row>
    <row r="18" spans="1:2" x14ac:dyDescent="0.25">
      <c r="A18" s="3" t="s">
        <v>22</v>
      </c>
    </row>
    <row r="19" spans="1:2" x14ac:dyDescent="0.25">
      <c r="A19" s="4" t="s">
        <v>23</v>
      </c>
      <c r="B19" s="2" t="s">
        <v>24</v>
      </c>
    </row>
    <row r="20" spans="1:2" x14ac:dyDescent="0.25">
      <c r="A20" s="2" t="s">
        <v>25</v>
      </c>
      <c r="B20" s="2" t="s">
        <v>26</v>
      </c>
    </row>
    <row r="21" spans="1:2" x14ac:dyDescent="0.25">
      <c r="A21" s="5" t="s">
        <v>27</v>
      </c>
      <c r="B21" s="2" t="s">
        <v>28</v>
      </c>
    </row>
    <row r="22" spans="1:2" x14ac:dyDescent="0.25">
      <c r="A22" s="2" t="s">
        <v>29</v>
      </c>
      <c r="B22" s="2" t="s">
        <v>30</v>
      </c>
    </row>
    <row r="24" spans="1:2" x14ac:dyDescent="0.25">
      <c r="A24" s="3" t="s">
        <v>31</v>
      </c>
      <c r="B24" s="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D0D6-11DB-4412-B9B7-C2C518AE3F85}">
  <dimension ref="A1:C38"/>
  <sheetViews>
    <sheetView showGridLines="0" topLeftCell="A2" zoomScaleNormal="100" workbookViewId="0">
      <selection activeCell="B37" sqref="B37"/>
    </sheetView>
  </sheetViews>
  <sheetFormatPr defaultColWidth="8.6640625" defaultRowHeight="13.8" x14ac:dyDescent="0.25"/>
  <cols>
    <col min="1" max="1" width="35" style="2" customWidth="1"/>
    <col min="2" max="2" width="15" style="2" customWidth="1"/>
    <col min="3" max="3" width="35" style="2" customWidth="1"/>
    <col min="4" max="16384" width="8.6640625" style="2"/>
  </cols>
  <sheetData>
    <row r="1" spans="1:3" ht="17.399999999999999" x14ac:dyDescent="0.3">
      <c r="A1" s="6" t="s">
        <v>33</v>
      </c>
    </row>
    <row r="2" spans="1:3" ht="21.75" customHeight="1" x14ac:dyDescent="0.25"/>
    <row r="3" spans="1:3" ht="15" x14ac:dyDescent="0.25">
      <c r="A3" s="7" t="s">
        <v>34</v>
      </c>
    </row>
    <row r="4" spans="1:3" x14ac:dyDescent="0.25">
      <c r="A4" s="2" t="s">
        <v>35</v>
      </c>
      <c r="B4" s="4" t="s">
        <v>36</v>
      </c>
    </row>
    <row r="5" spans="1:3" x14ac:dyDescent="0.25">
      <c r="A5" s="2" t="s">
        <v>37</v>
      </c>
      <c r="B5" s="4" t="s">
        <v>4</v>
      </c>
    </row>
    <row r="6" spans="1:3" x14ac:dyDescent="0.25">
      <c r="A6" s="2" t="s">
        <v>38</v>
      </c>
      <c r="B6" s="4" t="s">
        <v>39</v>
      </c>
    </row>
    <row r="7" spans="1:3" x14ac:dyDescent="0.25">
      <c r="A7" s="2" t="s">
        <v>40</v>
      </c>
      <c r="B7" s="8">
        <v>60</v>
      </c>
      <c r="C7" s="9" t="s">
        <v>196</v>
      </c>
    </row>
    <row r="8" spans="1:3" x14ac:dyDescent="0.25">
      <c r="A8" s="2" t="s">
        <v>41</v>
      </c>
      <c r="B8" s="8">
        <v>142.36000000000001</v>
      </c>
      <c r="C8" s="9" t="s">
        <v>42</v>
      </c>
    </row>
    <row r="10" spans="1:3" ht="15" x14ac:dyDescent="0.25">
      <c r="A10" s="7" t="s">
        <v>43</v>
      </c>
    </row>
    <row r="11" spans="1:3" x14ac:dyDescent="0.25">
      <c r="A11" s="2" t="s">
        <v>44</v>
      </c>
      <c r="B11" s="10">
        <v>5</v>
      </c>
    </row>
    <row r="12" spans="1:3" x14ac:dyDescent="0.25">
      <c r="A12" s="2" t="s">
        <v>45</v>
      </c>
      <c r="B12" s="11">
        <v>0.1</v>
      </c>
      <c r="C12" s="9" t="s">
        <v>46</v>
      </c>
    </row>
    <row r="13" spans="1:3" x14ac:dyDescent="0.25">
      <c r="A13" s="2" t="s">
        <v>47</v>
      </c>
      <c r="B13" s="11">
        <v>0.09</v>
      </c>
    </row>
    <row r="14" spans="1:3" x14ac:dyDescent="0.25">
      <c r="A14" s="2" t="s">
        <v>48</v>
      </c>
      <c r="B14" s="11">
        <v>0.08</v>
      </c>
    </row>
    <row r="15" spans="1:3" x14ac:dyDescent="0.25">
      <c r="A15" s="2" t="s">
        <v>49</v>
      </c>
      <c r="B15" s="11">
        <v>7.0000000000000007E-2</v>
      </c>
    </row>
    <row r="16" spans="1:3" x14ac:dyDescent="0.25">
      <c r="A16" s="2" t="s">
        <v>50</v>
      </c>
      <c r="B16" s="11">
        <v>0.06</v>
      </c>
    </row>
    <row r="18" spans="1:3" x14ac:dyDescent="0.25">
      <c r="A18" s="2" t="s">
        <v>51</v>
      </c>
      <c r="B18" s="11">
        <v>0.11</v>
      </c>
      <c r="C18" s="9" t="s">
        <v>52</v>
      </c>
    </row>
    <row r="19" spans="1:3" x14ac:dyDescent="0.25">
      <c r="A19" s="2" t="s">
        <v>53</v>
      </c>
      <c r="B19" s="12">
        <v>0.3</v>
      </c>
      <c r="C19" s="9" t="s">
        <v>54</v>
      </c>
    </row>
    <row r="20" spans="1:3" x14ac:dyDescent="0.25">
      <c r="A20" s="2" t="s">
        <v>55</v>
      </c>
      <c r="B20" s="12">
        <v>0.02</v>
      </c>
      <c r="C20" s="9" t="s">
        <v>56</v>
      </c>
    </row>
    <row r="21" spans="1:3" x14ac:dyDescent="0.25">
      <c r="A21" s="2" t="s">
        <v>57</v>
      </c>
      <c r="B21" s="12">
        <v>2.5000000000000001E-2</v>
      </c>
    </row>
    <row r="22" spans="1:3" x14ac:dyDescent="0.25">
      <c r="A22" s="2" t="s">
        <v>58</v>
      </c>
      <c r="B22" s="12">
        <v>1.4999999999999999E-2</v>
      </c>
    </row>
    <row r="24" spans="1:3" x14ac:dyDescent="0.25">
      <c r="A24" s="2" t="s">
        <v>59</v>
      </c>
      <c r="B24" s="11">
        <v>0.14000000000000001</v>
      </c>
      <c r="C24" s="9" t="s">
        <v>60</v>
      </c>
    </row>
    <row r="25" spans="1:3" x14ac:dyDescent="0.25">
      <c r="A25" s="2" t="s">
        <v>61</v>
      </c>
      <c r="B25" s="11">
        <v>0.04</v>
      </c>
      <c r="C25" s="9" t="s">
        <v>62</v>
      </c>
    </row>
    <row r="27" spans="1:3" ht="15" x14ac:dyDescent="0.25">
      <c r="A27" s="7" t="s">
        <v>63</v>
      </c>
    </row>
    <row r="28" spans="1:3" x14ac:dyDescent="0.25">
      <c r="A28" s="2" t="s">
        <v>64</v>
      </c>
      <c r="B28" s="12">
        <v>0.12</v>
      </c>
    </row>
    <row r="29" spans="1:3" x14ac:dyDescent="0.25">
      <c r="A29" s="2" t="s">
        <v>65</v>
      </c>
      <c r="B29" s="12">
        <v>0.08</v>
      </c>
    </row>
    <row r="30" spans="1:3" x14ac:dyDescent="0.25">
      <c r="A30" s="2" t="s">
        <v>66</v>
      </c>
      <c r="B30" s="13">
        <v>0.21</v>
      </c>
      <c r="C30" s="9" t="s">
        <v>67</v>
      </c>
    </row>
    <row r="31" spans="1:3" x14ac:dyDescent="0.25">
      <c r="A31" s="2" t="s">
        <v>68</v>
      </c>
      <c r="B31" s="14">
        <f>B28+B30*B29</f>
        <v>0.1368</v>
      </c>
    </row>
    <row r="32" spans="1:3" x14ac:dyDescent="0.25">
      <c r="A32" s="2" t="s">
        <v>69</v>
      </c>
      <c r="B32" s="12">
        <v>0.11</v>
      </c>
    </row>
    <row r="33" spans="1:3" x14ac:dyDescent="0.25">
      <c r="A33" s="2" t="s">
        <v>70</v>
      </c>
      <c r="B33" s="13">
        <v>0.12</v>
      </c>
      <c r="C33" s="9" t="s">
        <v>71</v>
      </c>
    </row>
    <row r="35" spans="1:3" ht="15" x14ac:dyDescent="0.25">
      <c r="A35" s="7" t="s">
        <v>72</v>
      </c>
    </row>
    <row r="36" spans="1:3" x14ac:dyDescent="0.25">
      <c r="A36" s="2" t="s">
        <v>73</v>
      </c>
      <c r="B36" s="15">
        <v>9</v>
      </c>
      <c r="C36" s="9" t="s">
        <v>74</v>
      </c>
    </row>
    <row r="37" spans="1:3" x14ac:dyDescent="0.25">
      <c r="A37" s="2" t="s">
        <v>75</v>
      </c>
      <c r="B37" s="15">
        <v>5.5</v>
      </c>
      <c r="C37" s="9" t="s">
        <v>76</v>
      </c>
    </row>
    <row r="38" spans="1:3" x14ac:dyDescent="0.25">
      <c r="A38" s="2" t="s">
        <v>77</v>
      </c>
      <c r="B38" s="16">
        <v>0.6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AD08-86C4-4C86-B79E-26B625C7CC93}">
  <dimension ref="A1:K35"/>
  <sheetViews>
    <sheetView showGridLines="0" tabSelected="1" zoomScaleNormal="100" workbookViewId="0">
      <selection activeCell="D22" sqref="D22"/>
    </sheetView>
  </sheetViews>
  <sheetFormatPr defaultColWidth="8.6640625" defaultRowHeight="13.8" x14ac:dyDescent="0.25"/>
  <cols>
    <col min="1" max="1" width="35" style="2" customWidth="1"/>
    <col min="2" max="2" width="15" style="2" customWidth="1"/>
    <col min="3" max="3" width="30" style="2" customWidth="1"/>
    <col min="4" max="16384" width="8.6640625" style="2"/>
  </cols>
  <sheetData>
    <row r="1" spans="1:3" ht="17.399999999999999" x14ac:dyDescent="0.3">
      <c r="A1" s="6" t="s">
        <v>78</v>
      </c>
    </row>
    <row r="3" spans="1:3" x14ac:dyDescent="0.25">
      <c r="A3" s="17" t="s">
        <v>79</v>
      </c>
    </row>
    <row r="5" spans="1:3" ht="15" x14ac:dyDescent="0.25">
      <c r="A5" s="7" t="s">
        <v>80</v>
      </c>
    </row>
    <row r="6" spans="1:3" x14ac:dyDescent="0.25">
      <c r="A6" s="2" t="s">
        <v>81</v>
      </c>
      <c r="B6" s="18">
        <v>13500</v>
      </c>
      <c r="C6" s="9" t="s">
        <v>82</v>
      </c>
    </row>
    <row r="7" spans="1:3" x14ac:dyDescent="0.25">
      <c r="A7" s="2" t="s">
        <v>83</v>
      </c>
      <c r="B7" s="18">
        <v>5994</v>
      </c>
      <c r="C7" s="9" t="s">
        <v>84</v>
      </c>
    </row>
    <row r="8" spans="1:3" x14ac:dyDescent="0.25">
      <c r="A8" s="2" t="s">
        <v>85</v>
      </c>
      <c r="B8" s="18">
        <v>787</v>
      </c>
      <c r="C8" s="9" t="s">
        <v>86</v>
      </c>
    </row>
    <row r="9" spans="1:3" x14ac:dyDescent="0.25">
      <c r="A9" s="2" t="s">
        <v>87</v>
      </c>
      <c r="B9" s="19">
        <f>B8+B11</f>
        <v>1124.5</v>
      </c>
    </row>
    <row r="10" spans="1:3" x14ac:dyDescent="0.25">
      <c r="A10" s="2" t="s">
        <v>88</v>
      </c>
      <c r="B10" s="18">
        <v>787</v>
      </c>
    </row>
    <row r="11" spans="1:3" x14ac:dyDescent="0.25">
      <c r="A11" s="2" t="s">
        <v>89</v>
      </c>
      <c r="B11" s="20">
        <f>B6*Assumptions!$B$21</f>
        <v>337.5</v>
      </c>
    </row>
    <row r="12" spans="1:3" x14ac:dyDescent="0.25">
      <c r="A12" s="2" t="s">
        <v>90</v>
      </c>
      <c r="B12" s="18">
        <v>243</v>
      </c>
      <c r="C12" s="9" t="s">
        <v>91</v>
      </c>
    </row>
    <row r="13" spans="1:3" x14ac:dyDescent="0.25">
      <c r="A13" s="2" t="s">
        <v>92</v>
      </c>
      <c r="B13" s="18">
        <v>544</v>
      </c>
      <c r="C13" s="9" t="s">
        <v>93</v>
      </c>
    </row>
    <row r="14" spans="1:3" x14ac:dyDescent="0.25">
      <c r="A14" s="2" t="s">
        <v>94</v>
      </c>
      <c r="B14" s="13">
        <v>3.82</v>
      </c>
    </row>
    <row r="16" spans="1:3" ht="15" x14ac:dyDescent="0.25">
      <c r="A16" s="7" t="s">
        <v>95</v>
      </c>
    </row>
    <row r="17" spans="1:11" x14ac:dyDescent="0.25">
      <c r="A17" s="2" t="s">
        <v>96</v>
      </c>
      <c r="B17" s="18">
        <v>635</v>
      </c>
    </row>
    <row r="18" spans="1:11" x14ac:dyDescent="0.25">
      <c r="A18" s="2" t="s">
        <v>97</v>
      </c>
      <c r="B18" s="18">
        <v>440</v>
      </c>
    </row>
    <row r="19" spans="1:11" x14ac:dyDescent="0.25">
      <c r="A19" s="2" t="s">
        <v>98</v>
      </c>
      <c r="B19" s="19">
        <f>B18-B17</f>
        <v>-195</v>
      </c>
      <c r="C19" s="9" t="s">
        <v>99</v>
      </c>
    </row>
    <row r="20" spans="1:11" x14ac:dyDescent="0.25">
      <c r="A20" s="2" t="s">
        <v>100</v>
      </c>
      <c r="B20" s="18">
        <v>3400</v>
      </c>
    </row>
    <row r="22" spans="1:11" ht="15" x14ac:dyDescent="0.25">
      <c r="A22" s="7" t="s">
        <v>101</v>
      </c>
    </row>
    <row r="23" spans="1:11" x14ac:dyDescent="0.25">
      <c r="A23" s="2" t="s">
        <v>102</v>
      </c>
      <c r="B23" s="18">
        <v>1810</v>
      </c>
    </row>
    <row r="24" spans="1:11" x14ac:dyDescent="0.25">
      <c r="A24" s="2" t="s">
        <v>103</v>
      </c>
      <c r="B24" s="18">
        <v>292</v>
      </c>
    </row>
    <row r="25" spans="1:11" x14ac:dyDescent="0.25">
      <c r="A25" s="2" t="s">
        <v>104</v>
      </c>
      <c r="B25" s="19">
        <f>B23-B24</f>
        <v>1518</v>
      </c>
    </row>
    <row r="26" spans="1:11" x14ac:dyDescent="0.25">
      <c r="K26" s="2" t="s">
        <v>194</v>
      </c>
    </row>
    <row r="27" spans="1:11" ht="15" x14ac:dyDescent="0.25">
      <c r="A27" s="7" t="s">
        <v>105</v>
      </c>
    </row>
    <row r="28" spans="1:11" x14ac:dyDescent="0.25">
      <c r="A28" s="2" t="s">
        <v>106</v>
      </c>
      <c r="B28" s="20">
        <f>Assumptions!$B$7*Assumptions!$B$8</f>
        <v>8541.6</v>
      </c>
    </row>
    <row r="29" spans="1:11" x14ac:dyDescent="0.25">
      <c r="A29" s="2" t="s">
        <v>107</v>
      </c>
      <c r="B29" s="19">
        <f>B28+B19</f>
        <v>8346.6</v>
      </c>
    </row>
    <row r="30" spans="1:11" x14ac:dyDescent="0.25">
      <c r="A30" s="2" t="s">
        <v>108</v>
      </c>
      <c r="B30" s="21">
        <f>B28/B13</f>
        <v>15.701470588235296</v>
      </c>
    </row>
    <row r="31" spans="1:11" x14ac:dyDescent="0.25">
      <c r="A31" s="2" t="s">
        <v>109</v>
      </c>
      <c r="B31" s="21">
        <f>B29/B9</f>
        <v>7.4224988883948422</v>
      </c>
    </row>
    <row r="32" spans="1:11" x14ac:dyDescent="0.25">
      <c r="A32" s="2" t="s">
        <v>110</v>
      </c>
      <c r="B32" s="21">
        <f>B28/B6</f>
        <v>0.63271111111111111</v>
      </c>
    </row>
    <row r="33" spans="1:2" x14ac:dyDescent="0.25">
      <c r="A33" s="2" t="s">
        <v>111</v>
      </c>
      <c r="B33" s="13">
        <v>3</v>
      </c>
    </row>
    <row r="34" spans="1:2" x14ac:dyDescent="0.25">
      <c r="A34" s="2" t="s">
        <v>195</v>
      </c>
      <c r="B34" s="13">
        <v>60</v>
      </c>
    </row>
    <row r="35" spans="1:2" x14ac:dyDescent="0.25">
      <c r="A35" s="2" t="s">
        <v>112</v>
      </c>
      <c r="B35" s="14">
        <f>B33/B34</f>
        <v>0.05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B426-CADA-4D2B-ACCB-A6AE5B773B7E}">
  <dimension ref="A1:F34"/>
  <sheetViews>
    <sheetView showGridLines="0" topLeftCell="A10" zoomScaleNormal="100" workbookViewId="0">
      <selection activeCell="B14" sqref="B14"/>
    </sheetView>
  </sheetViews>
  <sheetFormatPr defaultColWidth="8.6640625" defaultRowHeight="13.8" x14ac:dyDescent="0.25"/>
  <cols>
    <col min="1" max="1" width="53.88671875" style="2" bestFit="1" customWidth="1"/>
    <col min="2" max="6" width="15" style="2" customWidth="1"/>
    <col min="7" max="16384" width="8.6640625" style="2"/>
  </cols>
  <sheetData>
    <row r="1" spans="1:6" ht="17.399999999999999" x14ac:dyDescent="0.3">
      <c r="A1" s="6" t="s">
        <v>113</v>
      </c>
    </row>
    <row r="2" spans="1:6" x14ac:dyDescent="0.25">
      <c r="A2" s="9" t="s">
        <v>114</v>
      </c>
    </row>
    <row r="4" spans="1:6" ht="15" x14ac:dyDescent="0.25">
      <c r="A4" s="7" t="s">
        <v>115</v>
      </c>
      <c r="B4" s="22" t="s">
        <v>116</v>
      </c>
      <c r="C4" s="22" t="s">
        <v>117</v>
      </c>
      <c r="D4" s="22" t="s">
        <v>118</v>
      </c>
      <c r="E4" s="22" t="s">
        <v>119</v>
      </c>
      <c r="F4" s="22" t="s">
        <v>120</v>
      </c>
    </row>
    <row r="5" spans="1:6" x14ac:dyDescent="0.25">
      <c r="A5" s="2" t="s">
        <v>81</v>
      </c>
      <c r="B5" s="20">
        <f>'Financial Data'!$B$6*(1+Assumptions!$B$12)</f>
        <v>14850.000000000002</v>
      </c>
      <c r="C5" s="20">
        <f>B5*(1+Assumptions!$B$13)</f>
        <v>16186.500000000004</v>
      </c>
      <c r="D5" s="20">
        <f>C5*(1+Assumptions!$B$14)</f>
        <v>17481.420000000006</v>
      </c>
      <c r="E5" s="20">
        <f>D5*(1+Assumptions!$B$15)</f>
        <v>18705.119400000007</v>
      </c>
      <c r="F5" s="20">
        <f>E5*(1+Assumptions!$B$16)</f>
        <v>19827.426564000009</v>
      </c>
    </row>
    <row r="6" spans="1:6" x14ac:dyDescent="0.25">
      <c r="A6" s="2" t="s">
        <v>121</v>
      </c>
      <c r="B6" s="20">
        <f>B5*Assumptions!$B$18</f>
        <v>1633.5000000000002</v>
      </c>
      <c r="C6" s="20">
        <f>C5*Assumptions!$B$18</f>
        <v>1780.5150000000003</v>
      </c>
      <c r="D6" s="20">
        <f>D5*Assumptions!$B$18</f>
        <v>1922.9562000000005</v>
      </c>
      <c r="E6" s="20">
        <f>E5*Assumptions!$B$18</f>
        <v>2057.5631340000009</v>
      </c>
      <c r="F6" s="20">
        <f>F5*Assumptions!$B$18</f>
        <v>2181.0169220400007</v>
      </c>
    </row>
    <row r="7" spans="1:6" x14ac:dyDescent="0.25">
      <c r="A7" s="2" t="s">
        <v>122</v>
      </c>
      <c r="B7" s="20">
        <f>B5*Assumptions!$B$21</f>
        <v>371.25000000000006</v>
      </c>
      <c r="C7" s="20">
        <f>C5*Assumptions!$B$21</f>
        <v>404.66250000000014</v>
      </c>
      <c r="D7" s="20">
        <f>D5*Assumptions!$B$21</f>
        <v>437.03550000000018</v>
      </c>
      <c r="E7" s="20">
        <f>E5*Assumptions!$B$21</f>
        <v>467.62798500000019</v>
      </c>
      <c r="F7" s="20">
        <f>F5*Assumptions!$B$21</f>
        <v>495.68566410000022</v>
      </c>
    </row>
    <row r="8" spans="1:6" x14ac:dyDescent="0.25">
      <c r="A8" s="2" t="s">
        <v>123</v>
      </c>
      <c r="B8" s="19">
        <f>B6-B7</f>
        <v>1262.2500000000002</v>
      </c>
      <c r="C8" s="19">
        <f>C6-C7</f>
        <v>1375.8525000000002</v>
      </c>
      <c r="D8" s="19">
        <f>D6-D7</f>
        <v>1485.9207000000004</v>
      </c>
      <c r="E8" s="19">
        <f>E6-E7</f>
        <v>1589.9351490000008</v>
      </c>
      <c r="F8" s="19">
        <f>F6-F7</f>
        <v>1685.3312579400006</v>
      </c>
    </row>
    <row r="9" spans="1:6" x14ac:dyDescent="0.25">
      <c r="A9" s="2" t="s">
        <v>124</v>
      </c>
      <c r="B9" s="20">
        <f>B8*Assumptions!$B$19</f>
        <v>378.67500000000007</v>
      </c>
      <c r="C9" s="20">
        <f>C8*Assumptions!$B$19</f>
        <v>412.75575000000003</v>
      </c>
      <c r="D9" s="20">
        <f>D8*Assumptions!$B$19</f>
        <v>445.77621000000011</v>
      </c>
      <c r="E9" s="20">
        <f>E8*Assumptions!$B$19</f>
        <v>476.98054470000022</v>
      </c>
      <c r="F9" s="20">
        <f>F8*Assumptions!$B$19</f>
        <v>505.59937738200017</v>
      </c>
    </row>
    <row r="10" spans="1:6" x14ac:dyDescent="0.25">
      <c r="A10" s="2" t="s">
        <v>125</v>
      </c>
      <c r="B10" s="19">
        <f>B8-B9</f>
        <v>883.57500000000016</v>
      </c>
      <c r="C10" s="19">
        <f>C8-C9</f>
        <v>963.09675000000016</v>
      </c>
      <c r="D10" s="19">
        <f>D8-D9</f>
        <v>1040.1444900000001</v>
      </c>
      <c r="E10" s="19">
        <f>E8-E9</f>
        <v>1112.9546043000005</v>
      </c>
      <c r="F10" s="19">
        <f>F8-F9</f>
        <v>1179.7318805580003</v>
      </c>
    </row>
    <row r="11" spans="1:6" x14ac:dyDescent="0.25">
      <c r="A11" s="2" t="s">
        <v>126</v>
      </c>
      <c r="B11" s="19">
        <f>B7</f>
        <v>371.25000000000006</v>
      </c>
      <c r="C11" s="19">
        <f>C7</f>
        <v>404.66250000000014</v>
      </c>
      <c r="D11" s="19">
        <f>D7</f>
        <v>437.03550000000018</v>
      </c>
      <c r="E11" s="19">
        <f>E7</f>
        <v>467.62798500000019</v>
      </c>
      <c r="F11" s="19">
        <f>F7</f>
        <v>495.68566410000022</v>
      </c>
    </row>
    <row r="12" spans="1:6" x14ac:dyDescent="0.25">
      <c r="A12" s="2" t="s">
        <v>127</v>
      </c>
      <c r="B12" s="20">
        <f>B5*Assumptions!$B$20</f>
        <v>297.00000000000006</v>
      </c>
      <c r="C12" s="20">
        <f>C5*Assumptions!$B$20</f>
        <v>323.73000000000008</v>
      </c>
      <c r="D12" s="20">
        <f>D5*Assumptions!$B$20</f>
        <v>349.62840000000011</v>
      </c>
      <c r="E12" s="20">
        <f>E5*Assumptions!$B$20</f>
        <v>374.10238800000013</v>
      </c>
      <c r="F12" s="20">
        <f>F5*Assumptions!$B$20</f>
        <v>396.54853128000019</v>
      </c>
    </row>
    <row r="13" spans="1:6" x14ac:dyDescent="0.25">
      <c r="A13" s="2" t="s">
        <v>128</v>
      </c>
      <c r="B13" s="20">
        <f>B5*Assumptions!$B$22</f>
        <v>222.75000000000003</v>
      </c>
      <c r="C13" s="20">
        <f>C5*Assumptions!$B$22</f>
        <v>242.79750000000004</v>
      </c>
      <c r="D13" s="20">
        <f>D5*Assumptions!$B$22</f>
        <v>262.2213000000001</v>
      </c>
      <c r="E13" s="20">
        <f>E5*Assumptions!$B$22</f>
        <v>280.57679100000007</v>
      </c>
      <c r="F13" s="20">
        <f>F5*Assumptions!$B$22</f>
        <v>297.4113984600001</v>
      </c>
    </row>
    <row r="14" spans="1:6" x14ac:dyDescent="0.25">
      <c r="A14" s="3" t="s">
        <v>129</v>
      </c>
      <c r="B14" s="23">
        <f>B10+B11-B12-B13</f>
        <v>735.07500000000027</v>
      </c>
      <c r="C14" s="23">
        <f>C10+C11-C12-C13</f>
        <v>801.23175000000026</v>
      </c>
      <c r="D14" s="23">
        <f>D10+D11-D12-D13</f>
        <v>865.3302900000001</v>
      </c>
      <c r="E14" s="23">
        <f>E10+E11-E12-E13</f>
        <v>925.90341030000025</v>
      </c>
      <c r="F14" s="23">
        <f>F10+F11-F12-F13</f>
        <v>981.45761491800022</v>
      </c>
    </row>
    <row r="16" spans="1:6" x14ac:dyDescent="0.25">
      <c r="A16" s="2" t="s">
        <v>130</v>
      </c>
      <c r="B16" s="24">
        <f>1/((1+Assumptions!$B$24)^1)</f>
        <v>0.8771929824561403</v>
      </c>
      <c r="C16" s="24">
        <f>1/((1+Assumptions!$B$24)^2)</f>
        <v>0.76946752847029842</v>
      </c>
      <c r="D16" s="24">
        <f>1/((1+Assumptions!$B$24)^3)</f>
        <v>0.67497151620201612</v>
      </c>
      <c r="E16" s="24">
        <f>1/((1+Assumptions!$B$24)^4)</f>
        <v>0.59208027737018942</v>
      </c>
      <c r="F16" s="24">
        <f>1/((1+Assumptions!$B$24)^5)</f>
        <v>0.51936866435981521</v>
      </c>
    </row>
    <row r="17" spans="1:6" x14ac:dyDescent="0.25">
      <c r="A17" s="2" t="s">
        <v>131</v>
      </c>
      <c r="B17" s="19">
        <f>B14*B16</f>
        <v>644.80263157894763</v>
      </c>
      <c r="C17" s="19">
        <f>C14*C16</f>
        <v>616.52181440443223</v>
      </c>
      <c r="D17" s="19">
        <f>D14*D16</f>
        <v>584.07329785683032</v>
      </c>
      <c r="E17" s="19">
        <f>E14*E16</f>
        <v>548.20914798842841</v>
      </c>
      <c r="F17" s="19">
        <f>F14*F16</f>
        <v>509.7383305857316</v>
      </c>
    </row>
    <row r="19" spans="1:6" ht="15" x14ac:dyDescent="0.25">
      <c r="A19" s="7" t="s">
        <v>132</v>
      </c>
    </row>
    <row r="20" spans="1:6" x14ac:dyDescent="0.25">
      <c r="A20" s="2" t="s">
        <v>133</v>
      </c>
      <c r="B20" s="20">
        <f>F14*(1+Assumptions!$B$25)</f>
        <v>1020.7159195147202</v>
      </c>
    </row>
    <row r="21" spans="1:6" x14ac:dyDescent="0.25">
      <c r="A21" s="2" t="s">
        <v>134</v>
      </c>
      <c r="B21" s="20">
        <f>B20/(Assumptions!$B$24-Assumptions!$B$25)</f>
        <v>10207.159195147202</v>
      </c>
    </row>
    <row r="22" spans="1:6" x14ac:dyDescent="0.25">
      <c r="A22" s="2" t="s">
        <v>135</v>
      </c>
      <c r="B22" s="19">
        <f>B21*F16</f>
        <v>5301.2786380916086</v>
      </c>
    </row>
    <row r="24" spans="1:6" ht="15" x14ac:dyDescent="0.25">
      <c r="A24" s="7" t="s">
        <v>136</v>
      </c>
    </row>
    <row r="25" spans="1:6" x14ac:dyDescent="0.25">
      <c r="A25" s="2" t="s">
        <v>137</v>
      </c>
      <c r="B25" s="19">
        <f>SUM(B17:F17)</f>
        <v>2903.3452224143703</v>
      </c>
    </row>
    <row r="26" spans="1:6" x14ac:dyDescent="0.25">
      <c r="A26" s="2" t="s">
        <v>135</v>
      </c>
      <c r="B26" s="19">
        <f>B22</f>
        <v>5301.2786380916086</v>
      </c>
    </row>
    <row r="27" spans="1:6" x14ac:dyDescent="0.25">
      <c r="A27" s="2" t="s">
        <v>138</v>
      </c>
      <c r="B27" s="25">
        <f>B25+B26</f>
        <v>8204.6238605059789</v>
      </c>
    </row>
    <row r="28" spans="1:6" x14ac:dyDescent="0.25">
      <c r="A28" s="2" t="s">
        <v>139</v>
      </c>
      <c r="B28" s="20">
        <f>'Financial Data'!$B$19</f>
        <v>-195</v>
      </c>
    </row>
    <row r="29" spans="1:6" x14ac:dyDescent="0.25">
      <c r="A29" s="2" t="s">
        <v>140</v>
      </c>
      <c r="B29" s="25">
        <f>B27-B28</f>
        <v>8399.6238605059789</v>
      </c>
    </row>
    <row r="30" spans="1:6" x14ac:dyDescent="0.25">
      <c r="A30" s="2" t="s">
        <v>41</v>
      </c>
      <c r="B30" s="26">
        <f>Assumptions!$B$8</f>
        <v>142.36000000000001</v>
      </c>
    </row>
    <row r="31" spans="1:6" ht="15" x14ac:dyDescent="0.25">
      <c r="A31" s="27" t="s">
        <v>141</v>
      </c>
      <c r="B31" s="28">
        <f>B29/B30</f>
        <v>59.002696407038343</v>
      </c>
    </row>
    <row r="33" spans="1:2" x14ac:dyDescent="0.25">
      <c r="A33" s="2" t="s">
        <v>40</v>
      </c>
      <c r="B33" s="26">
        <f>Assumptions!$B$7</f>
        <v>60</v>
      </c>
    </row>
    <row r="34" spans="1:2" x14ac:dyDescent="0.25">
      <c r="A34" s="2" t="s">
        <v>142</v>
      </c>
      <c r="B34" s="29">
        <f>(B31-B33)/B33</f>
        <v>-1.6621726549360952E-2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2BEC-8B90-4B85-A97F-088B767FE0F0}">
  <dimension ref="A1:B27"/>
  <sheetViews>
    <sheetView showGridLines="0" zoomScaleNormal="100" workbookViewId="0">
      <selection activeCell="B15" sqref="B15"/>
    </sheetView>
  </sheetViews>
  <sheetFormatPr defaultColWidth="8.6640625" defaultRowHeight="13.8" x14ac:dyDescent="0.25"/>
  <cols>
    <col min="1" max="1" width="40" style="2" customWidth="1"/>
    <col min="2" max="2" width="15" style="2" customWidth="1"/>
    <col min="3" max="16384" width="8.6640625" style="2"/>
  </cols>
  <sheetData>
    <row r="1" spans="1:2" ht="17.399999999999999" x14ac:dyDescent="0.3">
      <c r="A1" s="6" t="s">
        <v>143</v>
      </c>
    </row>
    <row r="2" spans="1:2" x14ac:dyDescent="0.25">
      <c r="A2" s="9" t="s">
        <v>114</v>
      </c>
    </row>
    <row r="4" spans="1:2" ht="15" x14ac:dyDescent="0.25">
      <c r="A4" s="7" t="s">
        <v>144</v>
      </c>
    </row>
    <row r="6" spans="1:2" x14ac:dyDescent="0.25">
      <c r="A6" s="30" t="s">
        <v>145</v>
      </c>
    </row>
    <row r="7" spans="1:2" x14ac:dyDescent="0.25">
      <c r="A7" s="2" t="s">
        <v>92</v>
      </c>
      <c r="B7" s="20">
        <f>'Financial Data'!$B$13</f>
        <v>544</v>
      </c>
    </row>
    <row r="8" spans="1:2" x14ac:dyDescent="0.25">
      <c r="A8" s="2" t="s">
        <v>73</v>
      </c>
      <c r="B8" s="31">
        <f>Assumptions!$B$36</f>
        <v>9</v>
      </c>
    </row>
    <row r="9" spans="1:2" x14ac:dyDescent="0.25">
      <c r="A9" s="2" t="s">
        <v>146</v>
      </c>
      <c r="B9" s="19">
        <f>B7*B8</f>
        <v>4896</v>
      </c>
    </row>
    <row r="10" spans="1:2" x14ac:dyDescent="0.25">
      <c r="A10" s="2" t="s">
        <v>41</v>
      </c>
      <c r="B10" s="26">
        <f>Assumptions!$B$8</f>
        <v>142.36000000000001</v>
      </c>
    </row>
    <row r="11" spans="1:2" x14ac:dyDescent="0.25">
      <c r="A11" s="3" t="s">
        <v>147</v>
      </c>
      <c r="B11" s="32">
        <f>B9/B10</f>
        <v>34.391683057038492</v>
      </c>
    </row>
    <row r="13" spans="1:2" x14ac:dyDescent="0.25">
      <c r="A13" s="30" t="s">
        <v>148</v>
      </c>
    </row>
    <row r="14" spans="1:2" x14ac:dyDescent="0.25">
      <c r="A14" s="2" t="s">
        <v>121</v>
      </c>
      <c r="B14" s="20">
        <f>'Financial Data'!$B$9</f>
        <v>1124.5</v>
      </c>
    </row>
    <row r="15" spans="1:2" x14ac:dyDescent="0.25">
      <c r="A15" s="2" t="s">
        <v>75</v>
      </c>
      <c r="B15" s="31">
        <f>Assumptions!$B$37</f>
        <v>5.5</v>
      </c>
    </row>
    <row r="16" spans="1:2" x14ac:dyDescent="0.25">
      <c r="A16" s="2" t="s">
        <v>149</v>
      </c>
      <c r="B16" s="19">
        <f>B14*B15</f>
        <v>6184.75</v>
      </c>
    </row>
    <row r="17" spans="1:2" x14ac:dyDescent="0.25">
      <c r="A17" s="2" t="s">
        <v>139</v>
      </c>
      <c r="B17" s="20">
        <f>'Financial Data'!$B$19</f>
        <v>-195</v>
      </c>
    </row>
    <row r="18" spans="1:2" x14ac:dyDescent="0.25">
      <c r="A18" s="2" t="s">
        <v>150</v>
      </c>
      <c r="B18" s="19">
        <f>B16-B17</f>
        <v>6379.75</v>
      </c>
    </row>
    <row r="19" spans="1:2" x14ac:dyDescent="0.25">
      <c r="A19" s="2" t="s">
        <v>41</v>
      </c>
      <c r="B19" s="26">
        <f>Assumptions!$B$8</f>
        <v>142.36000000000001</v>
      </c>
    </row>
    <row r="20" spans="1:2" x14ac:dyDescent="0.25">
      <c r="A20" s="3" t="s">
        <v>151</v>
      </c>
      <c r="B20" s="32">
        <f>B18/B19</f>
        <v>44.814203427929186</v>
      </c>
    </row>
    <row r="22" spans="1:2" x14ac:dyDescent="0.25">
      <c r="A22" s="30" t="s">
        <v>152</v>
      </c>
    </row>
    <row r="23" spans="1:2" x14ac:dyDescent="0.25">
      <c r="A23" s="2" t="s">
        <v>81</v>
      </c>
      <c r="B23" s="20">
        <f>'Financial Data'!$B$6</f>
        <v>13500</v>
      </c>
    </row>
    <row r="24" spans="1:2" x14ac:dyDescent="0.25">
      <c r="A24" s="2" t="s">
        <v>77</v>
      </c>
      <c r="B24" s="31">
        <f>Assumptions!$B$38</f>
        <v>0.6</v>
      </c>
    </row>
    <row r="25" spans="1:2" x14ac:dyDescent="0.25">
      <c r="A25" s="2" t="s">
        <v>146</v>
      </c>
      <c r="B25" s="19">
        <f>B23*B24</f>
        <v>8100</v>
      </c>
    </row>
    <row r="26" spans="1:2" x14ac:dyDescent="0.25">
      <c r="A26" s="2" t="s">
        <v>41</v>
      </c>
      <c r="B26" s="26">
        <f>Assumptions!$B$8</f>
        <v>142.36000000000001</v>
      </c>
    </row>
    <row r="27" spans="1:2" x14ac:dyDescent="0.25">
      <c r="A27" s="3" t="s">
        <v>153</v>
      </c>
      <c r="B27" s="32">
        <f>B25/B26</f>
        <v>56.898005057600443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5675-7C42-42A0-8558-C0D98F5A7774}">
  <dimension ref="A1:G55"/>
  <sheetViews>
    <sheetView showGridLines="0" topLeftCell="A7" zoomScaleNormal="100" workbookViewId="0">
      <selection activeCell="A44" sqref="A44"/>
    </sheetView>
  </sheetViews>
  <sheetFormatPr defaultColWidth="8.6640625" defaultRowHeight="13.8" x14ac:dyDescent="0.25"/>
  <cols>
    <col min="1" max="1" width="40" style="2" customWidth="1"/>
    <col min="2" max="3" width="15" style="2" customWidth="1"/>
    <col min="4" max="4" width="22.6640625" style="2" customWidth="1"/>
    <col min="5" max="16384" width="8.6640625" style="2"/>
  </cols>
  <sheetData>
    <row r="1" spans="1:7" ht="20.399999999999999" x14ac:dyDescent="0.35">
      <c r="A1" s="1" t="s">
        <v>154</v>
      </c>
    </row>
    <row r="3" spans="1:7" x14ac:dyDescent="0.25">
      <c r="A3" s="2" t="s">
        <v>155</v>
      </c>
      <c r="B3" s="5" t="str">
        <f>Assumptions!$B$4</f>
        <v>Crown Paints Kenya PLC</v>
      </c>
    </row>
    <row r="4" spans="1:7" x14ac:dyDescent="0.25">
      <c r="A4" s="2" t="s">
        <v>3</v>
      </c>
      <c r="B4" s="5" t="str">
        <f>Assumptions!$B$5</f>
        <v>NSE: CRWN</v>
      </c>
    </row>
    <row r="5" spans="1:7" x14ac:dyDescent="0.25">
      <c r="A5" s="2" t="s">
        <v>5</v>
      </c>
      <c r="B5" s="5" t="str">
        <f>Assumptions!$B$6</f>
        <v>Building Materials - Paints &amp; Coatings</v>
      </c>
    </row>
    <row r="6" spans="1:7" x14ac:dyDescent="0.25">
      <c r="A6" s="2" t="s">
        <v>156</v>
      </c>
      <c r="B6" s="26">
        <f>Assumptions!$B$7</f>
        <v>60</v>
      </c>
    </row>
    <row r="7" spans="1:7" x14ac:dyDescent="0.25">
      <c r="A7" s="2" t="s">
        <v>157</v>
      </c>
      <c r="B7" s="41">
        <v>46054</v>
      </c>
    </row>
    <row r="9" spans="1:7" ht="15" x14ac:dyDescent="0.25">
      <c r="A9" s="7" t="s">
        <v>136</v>
      </c>
    </row>
    <row r="10" spans="1:7" x14ac:dyDescent="0.25">
      <c r="A10" s="30" t="s">
        <v>158</v>
      </c>
      <c r="B10" s="30" t="s">
        <v>159</v>
      </c>
      <c r="C10" s="30" t="s">
        <v>160</v>
      </c>
      <c r="D10" s="30" t="s">
        <v>161</v>
      </c>
    </row>
    <row r="11" spans="1:7" x14ac:dyDescent="0.25">
      <c r="A11" s="2" t="s">
        <v>162</v>
      </c>
      <c r="B11" s="26">
        <f>'DCF Valuation'!$B$31</f>
        <v>59.002696407038343</v>
      </c>
      <c r="C11" s="33">
        <f>B6</f>
        <v>60</v>
      </c>
      <c r="D11" s="14">
        <f>(B11-C11)/C11</f>
        <v>-1.6621726549360952E-2</v>
      </c>
      <c r="G11" s="2">
        <f>0.6*B11</f>
        <v>35.401617844223004</v>
      </c>
    </row>
    <row r="12" spans="1:7" x14ac:dyDescent="0.25">
      <c r="A12" s="2" t="s">
        <v>163</v>
      </c>
      <c r="B12" s="26">
        <f>'Multiples Valuation'!$B$11</f>
        <v>34.391683057038492</v>
      </c>
      <c r="C12" s="33">
        <f>B6</f>
        <v>60</v>
      </c>
      <c r="D12" s="14">
        <f>(B12-C12)/C12</f>
        <v>-0.42680528238269183</v>
      </c>
      <c r="G12" s="2">
        <f>0.2*B12</f>
        <v>6.8783366114076987</v>
      </c>
    </row>
    <row r="13" spans="1:7" x14ac:dyDescent="0.25">
      <c r="A13" s="2" t="s">
        <v>164</v>
      </c>
      <c r="B13" s="26">
        <f>'Multiples Valuation'!$B$20</f>
        <v>44.814203427929186</v>
      </c>
      <c r="C13" s="33">
        <f>B6</f>
        <v>60</v>
      </c>
      <c r="D13" s="14">
        <f>(B13-C13)/C13</f>
        <v>-0.25309660953451357</v>
      </c>
      <c r="G13" s="2">
        <f>0.1*B13</f>
        <v>4.4814203427929185</v>
      </c>
    </row>
    <row r="14" spans="1:7" x14ac:dyDescent="0.25">
      <c r="A14" s="2" t="s">
        <v>165</v>
      </c>
      <c r="B14" s="26">
        <f>'Multiples Valuation'!$B$27</f>
        <v>56.898005057600443</v>
      </c>
      <c r="C14" s="33">
        <f>B6</f>
        <v>60</v>
      </c>
      <c r="D14" s="14">
        <f>(B14-C14)/C14</f>
        <v>-5.1699915706659286E-2</v>
      </c>
      <c r="G14" s="2">
        <f>0.1*B14</f>
        <v>5.6898005057600445</v>
      </c>
    </row>
    <row r="16" spans="1:7" x14ac:dyDescent="0.25">
      <c r="A16" s="3" t="s">
        <v>166</v>
      </c>
      <c r="B16" s="34">
        <f>AVERAGE(B11:B14)</f>
        <v>48.776646987401612</v>
      </c>
      <c r="D16" s="35">
        <f>AVERAGE(D11:D14)</f>
        <v>-0.18705588354330643</v>
      </c>
      <c r="G16" s="2">
        <f>SUM(G11:G14)</f>
        <v>52.451175304183664</v>
      </c>
    </row>
    <row r="18" spans="1:2" ht="15" x14ac:dyDescent="0.25">
      <c r="A18" s="7" t="s">
        <v>167</v>
      </c>
    </row>
    <row r="19" spans="1:2" x14ac:dyDescent="0.25">
      <c r="A19" s="2" t="s">
        <v>168</v>
      </c>
      <c r="B19" s="20">
        <f>'Financial Data'!$B$6</f>
        <v>13500</v>
      </c>
    </row>
    <row r="20" spans="1:2" x14ac:dyDescent="0.25">
      <c r="A20" s="2" t="s">
        <v>169</v>
      </c>
      <c r="B20" s="20">
        <f>'Financial Data'!$B$13</f>
        <v>544</v>
      </c>
    </row>
    <row r="21" spans="1:2" x14ac:dyDescent="0.25">
      <c r="A21" s="2" t="s">
        <v>106</v>
      </c>
      <c r="B21" s="20">
        <f>'Financial Data'!$B$28</f>
        <v>8541.6</v>
      </c>
    </row>
    <row r="22" spans="1:2" x14ac:dyDescent="0.25">
      <c r="A22" s="2" t="s">
        <v>107</v>
      </c>
      <c r="B22" s="20">
        <f>'Financial Data'!$B$29</f>
        <v>8346.6</v>
      </c>
    </row>
    <row r="23" spans="1:2" x14ac:dyDescent="0.25">
      <c r="A23" s="2" t="s">
        <v>108</v>
      </c>
      <c r="B23" s="31">
        <f>'Financial Data'!$B$30</f>
        <v>15.701470588235296</v>
      </c>
    </row>
    <row r="24" spans="1:2" x14ac:dyDescent="0.25">
      <c r="A24" s="2" t="s">
        <v>109</v>
      </c>
      <c r="B24" s="31">
        <f>'Financial Data'!$B$31</f>
        <v>7.4224988883948422</v>
      </c>
    </row>
    <row r="25" spans="1:2" x14ac:dyDescent="0.25">
      <c r="A25" s="2" t="s">
        <v>170</v>
      </c>
      <c r="B25" s="12">
        <v>0.26690000000000003</v>
      </c>
    </row>
    <row r="26" spans="1:2" x14ac:dyDescent="0.25">
      <c r="A26" s="2" t="s">
        <v>112</v>
      </c>
      <c r="B26" s="36">
        <f>'Financial Data'!$B$35</f>
        <v>0.05</v>
      </c>
    </row>
    <row r="28" spans="1:2" ht="15" x14ac:dyDescent="0.25">
      <c r="A28" s="7" t="s">
        <v>171</v>
      </c>
    </row>
    <row r="30" spans="1:2" ht="15" x14ac:dyDescent="0.25">
      <c r="A30" s="3" t="s">
        <v>172</v>
      </c>
      <c r="B30" s="37" t="str">
        <f>IF(D16&gt;0.2,"STRONG BUY",IF(D16&gt;0.1,"BUY",IF(D16&gt;0,"HOLD",IF(D16&gt;-0.1,"UNDERPERFORM","HOLD"))))</f>
        <v>HOLD</v>
      </c>
    </row>
    <row r="32" spans="1:2" x14ac:dyDescent="0.25">
      <c r="A32" s="3" t="s">
        <v>173</v>
      </c>
      <c r="B32" s="38">
        <f>B16</f>
        <v>48.776646987401612</v>
      </c>
    </row>
    <row r="33" spans="1:2" x14ac:dyDescent="0.25">
      <c r="A33" s="3" t="s">
        <v>174</v>
      </c>
      <c r="B33" s="39">
        <f>D16</f>
        <v>-0.18705588354330643</v>
      </c>
    </row>
    <row r="35" spans="1:2" ht="15" x14ac:dyDescent="0.25">
      <c r="A35" s="7" t="s">
        <v>175</v>
      </c>
    </row>
    <row r="36" spans="1:2" x14ac:dyDescent="0.25">
      <c r="A36" s="3" t="s">
        <v>176</v>
      </c>
    </row>
    <row r="37" spans="1:2" x14ac:dyDescent="0.25">
      <c r="A37" s="40" t="s">
        <v>177</v>
      </c>
    </row>
    <row r="38" spans="1:2" x14ac:dyDescent="0.25">
      <c r="A38" s="40" t="s">
        <v>178</v>
      </c>
    </row>
    <row r="39" spans="1:2" x14ac:dyDescent="0.25">
      <c r="A39" s="40" t="s">
        <v>179</v>
      </c>
    </row>
    <row r="40" spans="1:2" x14ac:dyDescent="0.25">
      <c r="A40" s="40" t="s">
        <v>180</v>
      </c>
    </row>
    <row r="41" spans="1:2" x14ac:dyDescent="0.25">
      <c r="A41" s="40" t="s">
        <v>181</v>
      </c>
    </row>
    <row r="42" spans="1:2" x14ac:dyDescent="0.25">
      <c r="A42" s="40" t="s">
        <v>182</v>
      </c>
    </row>
    <row r="43" spans="1:2" x14ac:dyDescent="0.25">
      <c r="A43" s="40"/>
    </row>
    <row r="44" spans="1:2" x14ac:dyDescent="0.25">
      <c r="A44" s="40" t="s">
        <v>183</v>
      </c>
    </row>
    <row r="45" spans="1:2" x14ac:dyDescent="0.25">
      <c r="A45" s="40" t="s">
        <v>184</v>
      </c>
    </row>
    <row r="46" spans="1:2" x14ac:dyDescent="0.25">
      <c r="A46" s="40" t="s">
        <v>185</v>
      </c>
    </row>
    <row r="47" spans="1:2" x14ac:dyDescent="0.25">
      <c r="A47" s="40" t="s">
        <v>186</v>
      </c>
    </row>
    <row r="48" spans="1:2" x14ac:dyDescent="0.25">
      <c r="A48" s="40" t="s">
        <v>187</v>
      </c>
    </row>
    <row r="50" spans="1:1" x14ac:dyDescent="0.25">
      <c r="A50" s="2" t="s">
        <v>188</v>
      </c>
    </row>
    <row r="51" spans="1:1" x14ac:dyDescent="0.25">
      <c r="A51" s="9" t="s">
        <v>189</v>
      </c>
    </row>
    <row r="52" spans="1:1" x14ac:dyDescent="0.25">
      <c r="A52" s="9" t="s">
        <v>190</v>
      </c>
    </row>
    <row r="53" spans="1:1" x14ac:dyDescent="0.25">
      <c r="A53" s="9" t="s">
        <v>191</v>
      </c>
    </row>
    <row r="54" spans="1:1" x14ac:dyDescent="0.25">
      <c r="A54" s="9" t="s">
        <v>192</v>
      </c>
    </row>
    <row r="55" spans="1:1" x14ac:dyDescent="0.25">
      <c r="A55" s="9" t="s">
        <v>193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Assumptions</vt:lpstr>
      <vt:lpstr>Financial Data</vt:lpstr>
      <vt:lpstr>DCF Valuation</vt:lpstr>
      <vt:lpstr>Multiples Valuation</vt:lpstr>
      <vt:lpstr>Summary &amp;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Otom</dc:creator>
  <cp:lastModifiedBy>Leah Sheila Wanjiku</cp:lastModifiedBy>
  <dcterms:created xsi:type="dcterms:W3CDTF">2026-02-14T09:47:22Z</dcterms:created>
  <dcterms:modified xsi:type="dcterms:W3CDTF">2026-02-23T08:04:40Z</dcterms:modified>
</cp:coreProperties>
</file>